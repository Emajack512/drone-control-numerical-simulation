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a\Desktop\Simulacion dron\"/>
    </mc:Choice>
  </mc:AlternateContent>
  <xr:revisionPtr revIDLastSave="0" documentId="13_ncr:1_{9340C53C-226D-44F4-A1CD-D8DCFC7F46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TOR 1" sheetId="1" r:id="rId1"/>
  </sheets>
  <calcPr calcId="191029"/>
  <extLst>
    <ext uri="GoogleSheetsCustomDataVersion2">
      <go:sheetsCustomData xmlns:go="http://customooxmlschemas.google.com/" r:id="rId8" roundtripDataChecksum="qJyeUadVt72YhVL1qsNRoqM8eqHy3X53Lx+VxTrJZWw="/>
    </ext>
  </extLst>
</workbook>
</file>

<file path=xl/calcChain.xml><?xml version="1.0" encoding="utf-8"?>
<calcChain xmlns="http://schemas.openxmlformats.org/spreadsheetml/2006/main">
  <c r="I3" i="1" l="1"/>
  <c r="N23" i="1"/>
  <c r="M23" i="1"/>
  <c r="L23" i="1"/>
  <c r="K23" i="1"/>
  <c r="J23" i="1"/>
  <c r="I23" i="1" s="1"/>
  <c r="N22" i="1"/>
  <c r="M22" i="1"/>
  <c r="L22" i="1"/>
  <c r="K22" i="1"/>
  <c r="J22" i="1"/>
  <c r="I22" i="1"/>
  <c r="N21" i="1"/>
  <c r="M21" i="1"/>
  <c r="L21" i="1"/>
  <c r="K21" i="1"/>
  <c r="J21" i="1"/>
  <c r="I21" i="1" s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 s="1"/>
  <c r="N16" i="1"/>
  <c r="M16" i="1"/>
  <c r="L16" i="1"/>
  <c r="K16" i="1"/>
  <c r="J16" i="1"/>
  <c r="I16" i="1"/>
  <c r="N15" i="1"/>
  <c r="M15" i="1"/>
  <c r="L15" i="1"/>
  <c r="K15" i="1"/>
  <c r="J15" i="1"/>
  <c r="I15" i="1" s="1"/>
  <c r="N14" i="1"/>
  <c r="M14" i="1"/>
  <c r="L14" i="1"/>
  <c r="K14" i="1"/>
  <c r="J14" i="1"/>
  <c r="I14" i="1"/>
  <c r="N13" i="1"/>
  <c r="M13" i="1"/>
  <c r="L13" i="1"/>
  <c r="K13" i="1"/>
  <c r="J13" i="1"/>
  <c r="I13" i="1" s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 s="1"/>
  <c r="N8" i="1"/>
  <c r="M8" i="1"/>
  <c r="L8" i="1"/>
  <c r="K8" i="1"/>
  <c r="J8" i="1"/>
  <c r="I8" i="1"/>
  <c r="N7" i="1"/>
  <c r="M7" i="1"/>
  <c r="L7" i="1"/>
  <c r="K7" i="1"/>
  <c r="J7" i="1"/>
  <c r="I7" i="1" s="1"/>
  <c r="N6" i="1"/>
  <c r="M6" i="1"/>
  <c r="L6" i="1"/>
  <c r="K6" i="1"/>
  <c r="J6" i="1"/>
  <c r="I6" i="1"/>
  <c r="N5" i="1"/>
  <c r="M5" i="1"/>
  <c r="L5" i="1"/>
  <c r="K5" i="1"/>
  <c r="J5" i="1"/>
  <c r="I5" i="1" s="1"/>
  <c r="N4" i="1"/>
  <c r="M4" i="1"/>
  <c r="L4" i="1"/>
  <c r="K4" i="1"/>
  <c r="J4" i="1"/>
  <c r="I4" i="1"/>
  <c r="N3" i="1"/>
  <c r="M3" i="1"/>
  <c r="L3" i="1"/>
  <c r="K3" i="1"/>
  <c r="J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</calcChain>
</file>

<file path=xl/sharedStrings.xml><?xml version="1.0" encoding="utf-8"?>
<sst xmlns="http://schemas.openxmlformats.org/spreadsheetml/2006/main" count="21" uniqueCount="18">
  <si>
    <t>Plantilla Motor 1</t>
  </si>
  <si>
    <t>Plantilla promedio motor 1</t>
  </si>
  <si>
    <t>PWM (uS)</t>
  </si>
  <si>
    <t>RPM</t>
  </si>
  <si>
    <t>Intensidad (A)</t>
  </si>
  <si>
    <t>V (bateria)</t>
  </si>
  <si>
    <t>Temperatura driver</t>
  </si>
  <si>
    <t>Fuerza de empuje (g)</t>
  </si>
  <si>
    <t>PWM</t>
  </si>
  <si>
    <t>ω (Velocidad angular)</t>
  </si>
  <si>
    <t>V bateria</t>
  </si>
  <si>
    <t>Fuerza de empuje (N)</t>
  </si>
  <si>
    <t>Cortamos en este punto</t>
  </si>
  <si>
    <t>cortamos en este punto</t>
  </si>
  <si>
    <t>Consumo driver 0,20A</t>
  </si>
  <si>
    <t>Despues de terminar el driver se fue a 80</t>
  </si>
  <si>
    <t>La bateria quedp en 11,36v</t>
  </si>
  <si>
    <t>el consumo en vacio se mantuvo en 0,2A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</si>
</sst>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1" applyBorder="1"/>
    <xf numFmtId="20" fontId="3" fillId="0" borderId="0" xfId="0" applyNumberFormat="1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E1" workbookViewId="0">
      <selection activeCell="I23" sqref="I23"/>
    </sheetView>
  </sheetViews>
  <sheetFormatPr baseColWidth="10" defaultColWidth="14.42578125" defaultRowHeight="15" customHeight="1"/>
  <cols>
    <col min="1" max="2" width="10.7109375" customWidth="1"/>
    <col min="3" max="3" width="16" customWidth="1"/>
    <col min="4" max="4" width="10.7109375" customWidth="1"/>
    <col min="5" max="5" width="22.5703125" customWidth="1"/>
    <col min="6" max="6" width="28" customWidth="1"/>
    <col min="7" max="7" width="10.7109375" customWidth="1"/>
    <col min="8" max="8" width="24.7109375" customWidth="1"/>
    <col min="9" max="9" width="23.7109375" customWidth="1"/>
    <col min="10" max="10" width="24.5703125" customWidth="1"/>
    <col min="11" max="11" width="19.5703125" customWidth="1"/>
    <col min="12" max="12" width="14.28515625" customWidth="1"/>
    <col min="13" max="13" width="20" customWidth="1"/>
    <col min="14" max="14" width="21.5703125" customWidth="1"/>
    <col min="15" max="26" width="10.7109375" customWidth="1"/>
  </cols>
  <sheetData>
    <row r="1" spans="1:14">
      <c r="A1" s="4" t="s">
        <v>0</v>
      </c>
      <c r="B1" s="5"/>
      <c r="C1" s="5"/>
      <c r="D1" s="5"/>
      <c r="E1" s="5"/>
      <c r="F1" s="6"/>
      <c r="H1" s="4" t="s">
        <v>1</v>
      </c>
      <c r="I1" s="5"/>
      <c r="J1" s="5"/>
      <c r="K1" s="5"/>
      <c r="L1" s="5"/>
      <c r="M1" s="5"/>
      <c r="N1" s="6"/>
    </row>
    <row r="2" spans="1:1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H2" s="1" t="s">
        <v>8</v>
      </c>
      <c r="I2" s="1" t="s">
        <v>9</v>
      </c>
      <c r="J2" s="1" t="s">
        <v>3</v>
      </c>
      <c r="K2" s="1" t="s">
        <v>4</v>
      </c>
      <c r="L2" s="1" t="s">
        <v>10</v>
      </c>
      <c r="M2" s="1" t="s">
        <v>6</v>
      </c>
      <c r="N2" s="1" t="s">
        <v>11</v>
      </c>
    </row>
    <row r="3" spans="1:14">
      <c r="A3" s="1">
        <v>1000</v>
      </c>
      <c r="B3" s="1">
        <v>0</v>
      </c>
      <c r="C3" s="1">
        <v>0</v>
      </c>
      <c r="D3" s="1">
        <v>12.41</v>
      </c>
      <c r="E3" s="1"/>
      <c r="F3" s="1">
        <v>0</v>
      </c>
      <c r="H3" s="1">
        <f>AVERAGE(A3:A5)</f>
        <v>1000</v>
      </c>
      <c r="I3" s="1">
        <f>PI()*2*J3/60</f>
        <v>0</v>
      </c>
      <c r="J3" s="1">
        <f t="shared" ref="J3:N3" si="0">AVERAGE(B3:B5)</f>
        <v>0</v>
      </c>
      <c r="K3" s="1">
        <f t="shared" si="0"/>
        <v>0</v>
      </c>
      <c r="L3" s="1">
        <f t="shared" si="0"/>
        <v>12.410000000000002</v>
      </c>
      <c r="M3" s="1" t="e">
        <f t="shared" si="0"/>
        <v>#DIV/0!</v>
      </c>
      <c r="N3" s="1">
        <f t="shared" si="0"/>
        <v>0</v>
      </c>
    </row>
    <row r="4" spans="1:14">
      <c r="A4" s="1">
        <v>1000</v>
      </c>
      <c r="B4" s="1">
        <v>0</v>
      </c>
      <c r="C4" s="1">
        <v>0</v>
      </c>
      <c r="D4" s="1">
        <v>12.41</v>
      </c>
      <c r="E4" s="1"/>
      <c r="F4" s="1">
        <v>0</v>
      </c>
      <c r="H4" s="1">
        <f t="shared" ref="H4:H23" si="1">H3+50</f>
        <v>1050</v>
      </c>
      <c r="I4" s="1">
        <f t="shared" ref="I3:I23" si="2">PI()*2*J4/60</f>
        <v>0</v>
      </c>
      <c r="J4" s="1">
        <f t="shared" ref="J4:N4" si="3">AVERAGE(B6:B8)</f>
        <v>0</v>
      </c>
      <c r="K4" s="1">
        <f t="shared" si="3"/>
        <v>0</v>
      </c>
      <c r="L4" s="1">
        <f t="shared" si="3"/>
        <v>12.410000000000002</v>
      </c>
      <c r="M4" s="1" t="e">
        <f t="shared" si="3"/>
        <v>#DIV/0!</v>
      </c>
      <c r="N4" s="1">
        <f t="shared" si="3"/>
        <v>0</v>
      </c>
    </row>
    <row r="5" spans="1:14">
      <c r="A5" s="1">
        <v>1000</v>
      </c>
      <c r="B5" s="1">
        <v>0</v>
      </c>
      <c r="C5" s="1">
        <v>0</v>
      </c>
      <c r="D5" s="1">
        <v>12.41</v>
      </c>
      <c r="E5" s="1"/>
      <c r="F5" s="1">
        <v>0</v>
      </c>
      <c r="G5" s="2">
        <v>0.72916666666666663</v>
      </c>
      <c r="H5" s="1">
        <f t="shared" si="1"/>
        <v>1100</v>
      </c>
      <c r="I5" s="1">
        <f t="shared" si="2"/>
        <v>112.31193736583511</v>
      </c>
      <c r="J5" s="1">
        <f>AVERAGE(B8:B11)</f>
        <v>1072.5</v>
      </c>
      <c r="K5" s="1">
        <f t="shared" ref="K5:N5" si="4">AVERAGE(C9:C11)</f>
        <v>0.27666666666666667</v>
      </c>
      <c r="L5" s="1">
        <f t="shared" si="4"/>
        <v>12.4</v>
      </c>
      <c r="M5" s="1" t="e">
        <f t="shared" si="4"/>
        <v>#DIV/0!</v>
      </c>
      <c r="N5" s="1">
        <f t="shared" si="4"/>
        <v>29</v>
      </c>
    </row>
    <row r="6" spans="1:14">
      <c r="A6" s="1">
        <v>1050</v>
      </c>
      <c r="B6" s="1">
        <v>0</v>
      </c>
      <c r="C6" s="1">
        <v>0</v>
      </c>
      <c r="D6" s="1">
        <v>12.41</v>
      </c>
      <c r="E6" s="1"/>
      <c r="F6" s="1">
        <v>0</v>
      </c>
      <c r="H6" s="1">
        <f t="shared" si="1"/>
        <v>1150</v>
      </c>
      <c r="I6" s="1">
        <f t="shared" si="2"/>
        <v>187.448361664191</v>
      </c>
      <c r="J6" s="1">
        <f t="shared" ref="J6:N6" si="5">AVERAGE(B12:B14)</f>
        <v>1790</v>
      </c>
      <c r="K6" s="1">
        <f t="shared" si="5"/>
        <v>0.41</v>
      </c>
      <c r="L6" s="1">
        <f t="shared" si="5"/>
        <v>12.37</v>
      </c>
      <c r="M6" s="1" t="e">
        <f t="shared" si="5"/>
        <v>#DIV/0!</v>
      </c>
      <c r="N6" s="1">
        <f t="shared" si="5"/>
        <v>45.333333333333336</v>
      </c>
    </row>
    <row r="7" spans="1:14">
      <c r="A7" s="1">
        <v>1050</v>
      </c>
      <c r="B7" s="1">
        <v>0</v>
      </c>
      <c r="C7" s="1">
        <v>0</v>
      </c>
      <c r="D7" s="1">
        <v>12.41</v>
      </c>
      <c r="E7" s="1"/>
      <c r="F7" s="1">
        <v>0</v>
      </c>
      <c r="H7" s="1">
        <f t="shared" si="1"/>
        <v>1200</v>
      </c>
      <c r="I7" s="1">
        <f t="shared" si="2"/>
        <v>235.30528975387551</v>
      </c>
      <c r="J7" s="1">
        <f t="shared" ref="J7:N7" si="6">AVERAGE(B15:B17)</f>
        <v>2247</v>
      </c>
      <c r="K7" s="1">
        <f t="shared" si="6"/>
        <v>0.68</v>
      </c>
      <c r="L7" s="1">
        <f t="shared" si="6"/>
        <v>12.346666666666666</v>
      </c>
      <c r="M7" s="1" t="e">
        <f t="shared" si="6"/>
        <v>#DIV/0!</v>
      </c>
      <c r="N7" s="1">
        <f t="shared" si="6"/>
        <v>76</v>
      </c>
    </row>
    <row r="8" spans="1:14">
      <c r="A8" s="1">
        <v>1050</v>
      </c>
      <c r="B8" s="1">
        <v>0</v>
      </c>
      <c r="C8" s="1">
        <v>0</v>
      </c>
      <c r="D8" s="1">
        <v>12.41</v>
      </c>
      <c r="E8" s="1"/>
      <c r="F8" s="1">
        <v>0</v>
      </c>
      <c r="H8" s="1">
        <f t="shared" si="1"/>
        <v>1250</v>
      </c>
      <c r="I8" s="1">
        <f t="shared" si="2"/>
        <v>276.39034034582204</v>
      </c>
      <c r="J8" s="1">
        <f t="shared" ref="J8:N8" si="7">AVERAGE(B18:B20)</f>
        <v>2639.3333333333335</v>
      </c>
      <c r="K8" s="1">
        <f t="shared" si="7"/>
        <v>1.0166666666666666</v>
      </c>
      <c r="L8" s="1">
        <f t="shared" si="7"/>
        <v>12.310000000000002</v>
      </c>
      <c r="M8" s="1" t="e">
        <f t="shared" si="7"/>
        <v>#DIV/0!</v>
      </c>
      <c r="N8" s="1">
        <f t="shared" si="7"/>
        <v>111.66666666666667</v>
      </c>
    </row>
    <row r="9" spans="1:14">
      <c r="A9" s="1">
        <v>1100</v>
      </c>
      <c r="B9" s="3">
        <v>1430</v>
      </c>
      <c r="C9" s="1">
        <v>0.28000000000000003</v>
      </c>
      <c r="D9" s="1">
        <v>12.41</v>
      </c>
      <c r="E9" s="1"/>
      <c r="F9" s="1">
        <v>30</v>
      </c>
      <c r="G9" s="2">
        <v>0.72986111111111107</v>
      </c>
      <c r="H9" s="1">
        <f t="shared" si="1"/>
        <v>1300</v>
      </c>
      <c r="I9" s="1">
        <f t="shared" si="2"/>
        <v>309.37706320851487</v>
      </c>
      <c r="J9" s="1">
        <f t="shared" ref="J9:N9" si="8">AVERAGE(B21:B23)</f>
        <v>2954.3333333333335</v>
      </c>
      <c r="K9" s="1">
        <f t="shared" si="8"/>
        <v>1.3166666666666667</v>
      </c>
      <c r="L9" s="1">
        <f t="shared" si="8"/>
        <v>12.26</v>
      </c>
      <c r="M9" s="1" t="e">
        <f t="shared" si="8"/>
        <v>#DIV/0!</v>
      </c>
      <c r="N9" s="1">
        <f t="shared" si="8"/>
        <v>138.66666666666666</v>
      </c>
    </row>
    <row r="10" spans="1:14">
      <c r="A10" s="1">
        <v>1100</v>
      </c>
      <c r="B10" s="1">
        <v>1428</v>
      </c>
      <c r="C10" s="1">
        <v>0.27</v>
      </c>
      <c r="D10" s="1">
        <v>12.4</v>
      </c>
      <c r="E10" s="1"/>
      <c r="F10" s="1">
        <v>29</v>
      </c>
      <c r="H10" s="1">
        <f t="shared" si="1"/>
        <v>1350</v>
      </c>
      <c r="I10" s="1">
        <f t="shared" si="2"/>
        <v>359.99161151635042</v>
      </c>
      <c r="J10" s="1">
        <f t="shared" ref="J10:N10" si="9">AVERAGE(B24:B26)</f>
        <v>3437.6666666666665</v>
      </c>
      <c r="K10" s="1">
        <f t="shared" si="9"/>
        <v>1.95</v>
      </c>
      <c r="L10" s="1">
        <f t="shared" si="9"/>
        <v>12.226666666666667</v>
      </c>
      <c r="M10" s="1" t="e">
        <f t="shared" si="9"/>
        <v>#DIV/0!</v>
      </c>
      <c r="N10" s="1">
        <f t="shared" si="9"/>
        <v>192.33333333333334</v>
      </c>
    </row>
    <row r="11" spans="1:14">
      <c r="A11" s="1">
        <v>1100</v>
      </c>
      <c r="B11" s="1">
        <v>1432</v>
      </c>
      <c r="C11" s="1">
        <v>0.28000000000000003</v>
      </c>
      <c r="D11" s="1">
        <v>12.39</v>
      </c>
      <c r="E11" s="1"/>
      <c r="F11" s="1">
        <v>28</v>
      </c>
      <c r="G11" s="2">
        <v>0.73055555555555551</v>
      </c>
      <c r="H11" s="1">
        <f t="shared" si="1"/>
        <v>1400</v>
      </c>
      <c r="I11" s="1">
        <f t="shared" si="2"/>
        <v>388.09141247345912</v>
      </c>
      <c r="J11" s="1">
        <f t="shared" ref="J11:N11" si="10">AVERAGE(B27:B29)</f>
        <v>3706</v>
      </c>
      <c r="K11" s="1">
        <f t="shared" si="10"/>
        <v>2.3733333333333335</v>
      </c>
      <c r="L11" s="1">
        <f t="shared" si="10"/>
        <v>12.156666666666666</v>
      </c>
      <c r="M11" s="1" t="e">
        <f t="shared" si="10"/>
        <v>#DIV/0!</v>
      </c>
      <c r="N11" s="1">
        <f t="shared" si="10"/>
        <v>224.66666666666666</v>
      </c>
    </row>
    <row r="12" spans="1:14">
      <c r="A12" s="1">
        <v>1150</v>
      </c>
      <c r="B12" s="1">
        <v>1800</v>
      </c>
      <c r="C12" s="1">
        <v>0.41</v>
      </c>
      <c r="D12" s="1">
        <v>12.37</v>
      </c>
      <c r="E12" s="1"/>
      <c r="F12" s="1">
        <v>45</v>
      </c>
      <c r="H12" s="1">
        <f t="shared" si="1"/>
        <v>1450</v>
      </c>
      <c r="I12" s="1">
        <f t="shared" si="2"/>
        <v>427.01225479293259</v>
      </c>
      <c r="J12" s="1">
        <f t="shared" ref="J12:N12" si="11">AVERAGE(B30:B32)</f>
        <v>4077.6666666666665</v>
      </c>
      <c r="K12" s="1">
        <f t="shared" si="11"/>
        <v>3.1266666666666665</v>
      </c>
      <c r="L12" s="1">
        <f t="shared" si="11"/>
        <v>12.066666666666668</v>
      </c>
      <c r="M12" s="1" t="e">
        <f t="shared" si="11"/>
        <v>#DIV/0!</v>
      </c>
      <c r="N12" s="1">
        <f t="shared" si="11"/>
        <v>276</v>
      </c>
    </row>
    <row r="13" spans="1:14">
      <c r="A13" s="1">
        <v>1150</v>
      </c>
      <c r="B13" s="1">
        <v>1790</v>
      </c>
      <c r="C13" s="1">
        <v>0.41</v>
      </c>
      <c r="D13" s="1">
        <v>12.37</v>
      </c>
      <c r="E13" s="1"/>
      <c r="F13" s="1">
        <v>46</v>
      </c>
      <c r="H13" s="1">
        <f t="shared" si="1"/>
        <v>1500</v>
      </c>
      <c r="I13" s="1">
        <f t="shared" si="2"/>
        <v>449.59681531373923</v>
      </c>
      <c r="J13" s="1">
        <f t="shared" ref="J13:N13" si="12">AVERAGE(B33:B35)</f>
        <v>4293.333333333333</v>
      </c>
      <c r="K13" s="1">
        <f t="shared" si="12"/>
        <v>3.6566666666666667</v>
      </c>
      <c r="L13" s="1">
        <f t="shared" si="12"/>
        <v>11.99</v>
      </c>
      <c r="M13" s="1" t="e">
        <f t="shared" si="12"/>
        <v>#DIV/0!</v>
      </c>
      <c r="N13" s="1">
        <f t="shared" si="12"/>
        <v>307.33333333333331</v>
      </c>
    </row>
    <row r="14" spans="1:14">
      <c r="A14" s="1">
        <v>1150</v>
      </c>
      <c r="B14" s="1">
        <v>1780</v>
      </c>
      <c r="C14" s="1">
        <v>0.41</v>
      </c>
      <c r="D14" s="1">
        <v>12.37</v>
      </c>
      <c r="E14" s="1"/>
      <c r="F14" s="1">
        <v>45</v>
      </c>
      <c r="G14" s="2">
        <v>0.73124999999999996</v>
      </c>
      <c r="H14" s="1">
        <f t="shared" si="1"/>
        <v>1550</v>
      </c>
      <c r="I14" s="1">
        <f t="shared" si="2"/>
        <v>481.71087355043494</v>
      </c>
      <c r="J14" s="1">
        <f t="shared" ref="J14:N14" si="13">AVERAGE(B36:B38)</f>
        <v>4600</v>
      </c>
      <c r="K14" s="1">
        <f t="shared" si="13"/>
        <v>4.5533333333333337</v>
      </c>
      <c r="L14" s="1">
        <f t="shared" si="13"/>
        <v>11.86</v>
      </c>
      <c r="M14" s="1" t="e">
        <f t="shared" si="13"/>
        <v>#DIV/0!</v>
      </c>
      <c r="N14" s="1">
        <f t="shared" si="13"/>
        <v>354.66666666666669</v>
      </c>
    </row>
    <row r="15" spans="1:14">
      <c r="A15" s="1">
        <v>1200</v>
      </c>
      <c r="B15" s="1">
        <v>2260</v>
      </c>
      <c r="C15" s="1">
        <v>0.68</v>
      </c>
      <c r="D15" s="1">
        <v>12.35</v>
      </c>
      <c r="E15" s="1"/>
      <c r="F15" s="1">
        <v>76</v>
      </c>
      <c r="H15" s="1">
        <f t="shared" si="1"/>
        <v>1600</v>
      </c>
      <c r="I15" s="1">
        <f t="shared" si="2"/>
        <v>508.58894403114766</v>
      </c>
      <c r="J15" s="1">
        <f t="shared" ref="J15:N15" si="14">AVERAGE(B39:B41)</f>
        <v>4856.666666666667</v>
      </c>
      <c r="K15" s="1">
        <f t="shared" si="14"/>
        <v>5.3233333333333333</v>
      </c>
      <c r="L15" s="1">
        <f t="shared" si="14"/>
        <v>11.726666666666667</v>
      </c>
      <c r="M15" s="1">
        <f t="shared" si="14"/>
        <v>40.666666666666664</v>
      </c>
      <c r="N15" s="1">
        <f t="shared" si="14"/>
        <v>401.33333333333331</v>
      </c>
    </row>
    <row r="16" spans="1:14">
      <c r="A16" s="1">
        <v>1200</v>
      </c>
      <c r="B16" s="1">
        <v>2240</v>
      </c>
      <c r="C16" s="1">
        <v>0.68</v>
      </c>
      <c r="D16" s="1">
        <v>12.35</v>
      </c>
      <c r="E16" s="1"/>
      <c r="F16" s="1">
        <v>76</v>
      </c>
      <c r="H16" s="1">
        <f t="shared" si="1"/>
        <v>1650</v>
      </c>
      <c r="I16" s="1">
        <f t="shared" si="2"/>
        <v>512.6381078957744</v>
      </c>
      <c r="J16" s="1">
        <f t="shared" ref="J16:N16" si="15">AVERAGE(B42:B44)</f>
        <v>4895.333333333333</v>
      </c>
      <c r="K16" s="1">
        <f t="shared" si="15"/>
        <v>5.64</v>
      </c>
      <c r="L16" s="1">
        <f t="shared" si="15"/>
        <v>11.646666666666668</v>
      </c>
      <c r="M16" s="1">
        <f t="shared" si="15"/>
        <v>47.333333333333336</v>
      </c>
      <c r="N16" s="1">
        <f t="shared" si="15"/>
        <v>408.66666666666669</v>
      </c>
    </row>
    <row r="17" spans="1:14">
      <c r="A17" s="1">
        <v>1200</v>
      </c>
      <c r="B17" s="1">
        <v>2241</v>
      </c>
      <c r="C17" s="1">
        <v>0.68</v>
      </c>
      <c r="D17" s="1">
        <v>12.34</v>
      </c>
      <c r="E17" s="1"/>
      <c r="F17" s="1">
        <v>76</v>
      </c>
      <c r="G17" s="2">
        <v>0.73263888888888884</v>
      </c>
      <c r="H17" s="1">
        <f t="shared" si="1"/>
        <v>1700</v>
      </c>
      <c r="I17" s="1">
        <f t="shared" si="2"/>
        <v>535.81608036225919</v>
      </c>
      <c r="J17" s="1">
        <f t="shared" ref="J17:N17" si="16">AVERAGE(B45:B47)</f>
        <v>5116.666666666667</v>
      </c>
      <c r="K17" s="1">
        <f t="shared" si="16"/>
        <v>6.7166666666666659</v>
      </c>
      <c r="L17" s="1">
        <f t="shared" si="16"/>
        <v>11.536666666666667</v>
      </c>
      <c r="M17" s="1">
        <f t="shared" si="16"/>
        <v>50.333333333333336</v>
      </c>
      <c r="N17" s="1">
        <f t="shared" si="16"/>
        <v>451.66666666666669</v>
      </c>
    </row>
    <row r="18" spans="1:14">
      <c r="A18" s="1">
        <v>1250</v>
      </c>
      <c r="B18" s="1">
        <v>2640</v>
      </c>
      <c r="C18" s="1">
        <v>1.02</v>
      </c>
      <c r="D18" s="1">
        <v>12.32</v>
      </c>
      <c r="E18" s="1"/>
      <c r="F18" s="1">
        <v>111</v>
      </c>
      <c r="H18" s="1">
        <f t="shared" si="1"/>
        <v>1750</v>
      </c>
      <c r="I18" s="1">
        <f t="shared" si="2"/>
        <v>546.63712172462397</v>
      </c>
      <c r="J18" s="1">
        <f t="shared" ref="J18:N18" si="17">AVERAGE(B48:B50)</f>
        <v>5220</v>
      </c>
      <c r="K18" s="1">
        <f t="shared" si="17"/>
        <v>7.3633333333333333</v>
      </c>
      <c r="L18" s="1">
        <f t="shared" si="17"/>
        <v>11.42</v>
      </c>
      <c r="M18" s="1">
        <f t="shared" si="17"/>
        <v>55</v>
      </c>
      <c r="N18" s="1">
        <f t="shared" si="17"/>
        <v>470.66666666666669</v>
      </c>
    </row>
    <row r="19" spans="1:14">
      <c r="A19" s="1">
        <v>1250</v>
      </c>
      <c r="B19" s="1">
        <v>2643</v>
      </c>
      <c r="C19" s="1">
        <v>1.02</v>
      </c>
      <c r="D19" s="1">
        <v>12.31</v>
      </c>
      <c r="E19" s="1"/>
      <c r="F19" s="1">
        <v>113</v>
      </c>
      <c r="H19" s="1">
        <f t="shared" si="1"/>
        <v>1800</v>
      </c>
      <c r="I19" s="1">
        <f t="shared" si="2"/>
        <v>567.37163323831669</v>
      </c>
      <c r="J19" s="1">
        <f t="shared" ref="J19:N19" si="18">AVERAGE(B51:B53)</f>
        <v>5418</v>
      </c>
      <c r="K19" s="1">
        <f t="shared" si="18"/>
        <v>8.48</v>
      </c>
      <c r="L19" s="1">
        <f t="shared" si="18"/>
        <v>11.299999999999999</v>
      </c>
      <c r="M19" s="1">
        <f t="shared" si="18"/>
        <v>59.666666666666664</v>
      </c>
      <c r="N19" s="1">
        <f t="shared" si="18"/>
        <v>506.66666666666669</v>
      </c>
    </row>
    <row r="20" spans="1:14">
      <c r="A20" s="1">
        <v>1250</v>
      </c>
      <c r="B20" s="1">
        <v>2635</v>
      </c>
      <c r="C20" s="1">
        <v>1.01</v>
      </c>
      <c r="D20" s="1">
        <v>12.3</v>
      </c>
      <c r="E20" s="1"/>
      <c r="F20" s="1">
        <v>111</v>
      </c>
      <c r="G20" s="2">
        <v>0.73333333333333328</v>
      </c>
      <c r="H20" s="1">
        <f t="shared" si="1"/>
        <v>1850</v>
      </c>
      <c r="I20" s="1">
        <f t="shared" si="2"/>
        <v>575.60958730772995</v>
      </c>
      <c r="J20" s="1">
        <f t="shared" ref="J20:N20" si="19">AVERAGE(B54:B56)</f>
        <v>5496.666666666667</v>
      </c>
      <c r="K20" s="1">
        <f t="shared" si="19"/>
        <v>9.2366666666666664</v>
      </c>
      <c r="L20" s="1">
        <f t="shared" si="19"/>
        <v>11.206666666666665</v>
      </c>
      <c r="M20" s="1">
        <f t="shared" si="19"/>
        <v>57.333333333333336</v>
      </c>
      <c r="N20" s="1">
        <f t="shared" si="19"/>
        <v>522.66666666666663</v>
      </c>
    </row>
    <row r="21" spans="1:14" ht="15.75" customHeight="1">
      <c r="A21" s="1">
        <v>1300</v>
      </c>
      <c r="B21" s="1">
        <v>2976</v>
      </c>
      <c r="C21" s="1">
        <v>1.32</v>
      </c>
      <c r="D21" s="1">
        <v>12.26</v>
      </c>
      <c r="E21" s="1"/>
      <c r="F21" s="1">
        <v>138</v>
      </c>
      <c r="H21" s="1">
        <f t="shared" si="1"/>
        <v>1900</v>
      </c>
      <c r="I21" s="1">
        <f t="shared" si="2"/>
        <v>591.56189667095794</v>
      </c>
      <c r="J21" s="1">
        <f t="shared" ref="J21:N21" si="20">AVERAGE(B57:B59)</f>
        <v>5649</v>
      </c>
      <c r="K21" s="1">
        <f t="shared" si="20"/>
        <v>10.403333333333334</v>
      </c>
      <c r="L21" s="1">
        <f t="shared" si="20"/>
        <v>11.089999999999998</v>
      </c>
      <c r="M21" s="1">
        <f t="shared" si="20"/>
        <v>66.666666666666671</v>
      </c>
      <c r="N21" s="1">
        <f t="shared" si="20"/>
        <v>553.66666666666663</v>
      </c>
    </row>
    <row r="22" spans="1:14" ht="15.75" customHeight="1">
      <c r="A22" s="1">
        <v>1300</v>
      </c>
      <c r="B22" s="1">
        <v>2947</v>
      </c>
      <c r="C22" s="1">
        <v>1.31</v>
      </c>
      <c r="D22" s="1">
        <v>12.26</v>
      </c>
      <c r="E22" s="1"/>
      <c r="F22" s="1">
        <v>138</v>
      </c>
      <c r="H22" s="1">
        <f t="shared" si="1"/>
        <v>1950</v>
      </c>
      <c r="I22" s="1">
        <f t="shared" si="2"/>
        <v>639.59335768584208</v>
      </c>
      <c r="J22" s="1">
        <f t="shared" ref="J22:N22" si="21">AVERAGE(B60:B62)</f>
        <v>6107.666666666667</v>
      </c>
      <c r="K22" s="1">
        <f t="shared" si="21"/>
        <v>12.530000000000001</v>
      </c>
      <c r="L22" s="1">
        <f t="shared" si="21"/>
        <v>11.113333333333335</v>
      </c>
      <c r="M22" s="1" t="e">
        <f t="shared" si="21"/>
        <v>#DIV/0!</v>
      </c>
      <c r="N22" s="1">
        <f t="shared" si="21"/>
        <v>636</v>
      </c>
    </row>
    <row r="23" spans="1:14" ht="15.75" customHeight="1">
      <c r="A23" s="1">
        <v>1300</v>
      </c>
      <c r="B23" s="1">
        <v>2940</v>
      </c>
      <c r="C23" s="1">
        <v>1.32</v>
      </c>
      <c r="D23" s="1">
        <v>12.26</v>
      </c>
      <c r="E23" s="1"/>
      <c r="F23" s="1">
        <v>140</v>
      </c>
      <c r="G23" s="2">
        <v>0.73402777777777772</v>
      </c>
      <c r="H23" s="1">
        <f t="shared" si="1"/>
        <v>2000</v>
      </c>
      <c r="I23" s="1">
        <f t="shared" si="2"/>
        <v>629.36572826915517</v>
      </c>
      <c r="J23" s="1">
        <f t="shared" ref="J23:N23" si="22">AVERAGE(B63:B65)</f>
        <v>6010</v>
      </c>
      <c r="K23" s="1">
        <f t="shared" si="22"/>
        <v>13.030000000000001</v>
      </c>
      <c r="L23" s="1">
        <f t="shared" si="22"/>
        <v>11.003333333333336</v>
      </c>
      <c r="M23" s="1" t="e">
        <f t="shared" si="22"/>
        <v>#DIV/0!</v>
      </c>
      <c r="N23" s="1">
        <f t="shared" si="22"/>
        <v>622</v>
      </c>
    </row>
    <row r="24" spans="1:14" ht="15.75" customHeight="1">
      <c r="A24" s="1">
        <v>1350</v>
      </c>
      <c r="B24" s="1">
        <v>3440</v>
      </c>
      <c r="C24" s="1">
        <v>1.95</v>
      </c>
      <c r="D24" s="1">
        <v>12.24</v>
      </c>
      <c r="E24" s="1"/>
      <c r="F24" s="1">
        <v>192</v>
      </c>
    </row>
    <row r="25" spans="1:14" ht="15.75" customHeight="1">
      <c r="A25" s="1">
        <v>1350</v>
      </c>
      <c r="B25" s="1">
        <v>3453</v>
      </c>
      <c r="C25" s="1">
        <v>1.96</v>
      </c>
      <c r="D25" s="1">
        <v>12.23</v>
      </c>
      <c r="E25" s="1"/>
      <c r="F25" s="1">
        <v>192</v>
      </c>
    </row>
    <row r="26" spans="1:14" ht="15.75" customHeight="1">
      <c r="A26" s="1">
        <v>1350</v>
      </c>
      <c r="B26" s="1">
        <v>3420</v>
      </c>
      <c r="C26" s="1">
        <v>1.94</v>
      </c>
      <c r="D26" s="1">
        <v>12.21</v>
      </c>
      <c r="E26" s="1"/>
      <c r="F26" s="1">
        <v>193</v>
      </c>
      <c r="G26" s="2">
        <v>0.73611111111111116</v>
      </c>
    </row>
    <row r="27" spans="1:14" ht="15.75" customHeight="1">
      <c r="A27" s="1">
        <v>1400</v>
      </c>
      <c r="B27" s="1">
        <v>3716</v>
      </c>
      <c r="C27" s="1">
        <v>2.39</v>
      </c>
      <c r="D27" s="1">
        <v>12.18</v>
      </c>
      <c r="E27" s="1"/>
      <c r="F27" s="1">
        <v>225</v>
      </c>
    </row>
    <row r="28" spans="1:14" ht="15.75" customHeight="1">
      <c r="A28" s="1">
        <v>1400</v>
      </c>
      <c r="B28" s="1">
        <v>3702</v>
      </c>
      <c r="C28" s="1">
        <v>2.36</v>
      </c>
      <c r="D28" s="1">
        <v>12.15</v>
      </c>
      <c r="E28" s="1"/>
      <c r="F28" s="1">
        <v>225</v>
      </c>
    </row>
    <row r="29" spans="1:14" ht="15.75" customHeight="1">
      <c r="A29" s="1">
        <v>1400</v>
      </c>
      <c r="B29" s="1">
        <v>3700</v>
      </c>
      <c r="C29" s="1">
        <v>2.37</v>
      </c>
      <c r="D29" s="1">
        <v>12.14</v>
      </c>
      <c r="E29" s="1"/>
      <c r="F29" s="1">
        <v>224</v>
      </c>
      <c r="G29" s="2">
        <v>0.73750000000000004</v>
      </c>
    </row>
    <row r="30" spans="1:14" ht="15.75" customHeight="1">
      <c r="A30" s="1">
        <v>1450</v>
      </c>
      <c r="B30" s="1">
        <v>4090</v>
      </c>
      <c r="C30" s="1">
        <v>3.14</v>
      </c>
      <c r="D30" s="1">
        <v>12.05</v>
      </c>
      <c r="E30" s="1"/>
      <c r="F30" s="1">
        <v>279</v>
      </c>
    </row>
    <row r="31" spans="1:14" ht="15.75" customHeight="1">
      <c r="A31" s="1">
        <v>1450</v>
      </c>
      <c r="B31" s="1">
        <v>4073</v>
      </c>
      <c r="C31" s="1">
        <v>3.12</v>
      </c>
      <c r="D31" s="1">
        <v>12.07</v>
      </c>
      <c r="E31" s="1"/>
      <c r="F31" s="1">
        <v>276</v>
      </c>
    </row>
    <row r="32" spans="1:14" ht="15.75" customHeight="1">
      <c r="A32" s="1">
        <v>1450</v>
      </c>
      <c r="B32" s="1">
        <v>4070</v>
      </c>
      <c r="C32" s="1">
        <v>3.12</v>
      </c>
      <c r="D32" s="1">
        <v>12.08</v>
      </c>
      <c r="E32" s="1"/>
      <c r="F32" s="1">
        <v>273</v>
      </c>
      <c r="G32" s="2">
        <v>0.73819444444444449</v>
      </c>
    </row>
    <row r="33" spans="1:9" ht="15.75" customHeight="1">
      <c r="A33" s="1">
        <v>1500</v>
      </c>
      <c r="B33" s="1">
        <v>4300</v>
      </c>
      <c r="C33" s="1">
        <v>3.66</v>
      </c>
      <c r="D33" s="1">
        <v>12.01</v>
      </c>
      <c r="E33" s="1"/>
      <c r="F33" s="1">
        <v>310</v>
      </c>
    </row>
    <row r="34" spans="1:9" ht="15.75" customHeight="1">
      <c r="A34" s="1">
        <v>1500</v>
      </c>
      <c r="B34" s="1">
        <v>4280</v>
      </c>
      <c r="C34" s="1">
        <v>3.65</v>
      </c>
      <c r="D34" s="1">
        <v>11.99</v>
      </c>
      <c r="E34" s="1"/>
      <c r="F34" s="1">
        <v>306</v>
      </c>
    </row>
    <row r="35" spans="1:9" ht="15.75" customHeight="1">
      <c r="A35" s="1">
        <v>1500</v>
      </c>
      <c r="B35" s="1">
        <v>4300</v>
      </c>
      <c r="C35" s="1">
        <v>3.66</v>
      </c>
      <c r="D35" s="1">
        <v>11.97</v>
      </c>
      <c r="E35" s="1"/>
      <c r="F35" s="1">
        <v>306</v>
      </c>
      <c r="G35" s="2">
        <v>0.73958333333333337</v>
      </c>
    </row>
    <row r="36" spans="1:9" ht="15.75" customHeight="1">
      <c r="A36" s="1">
        <v>1550</v>
      </c>
      <c r="B36" s="1">
        <v>4612</v>
      </c>
      <c r="C36" s="1">
        <v>4.59</v>
      </c>
      <c r="D36" s="1">
        <v>11.89</v>
      </c>
      <c r="E36" s="1"/>
      <c r="F36" s="1">
        <v>358</v>
      </c>
    </row>
    <row r="37" spans="1:9" ht="15.75" customHeight="1">
      <c r="A37" s="1">
        <v>1550</v>
      </c>
      <c r="B37" s="1">
        <v>4610</v>
      </c>
      <c r="C37" s="1">
        <v>4.5199999999999996</v>
      </c>
      <c r="D37" s="1">
        <v>11.85</v>
      </c>
      <c r="E37" s="1"/>
      <c r="F37" s="1">
        <v>354</v>
      </c>
    </row>
    <row r="38" spans="1:9" ht="15.75" customHeight="1">
      <c r="A38" s="1">
        <v>1550</v>
      </c>
      <c r="B38" s="1">
        <v>4578</v>
      </c>
      <c r="C38" s="1">
        <v>4.55</v>
      </c>
      <c r="D38" s="1">
        <v>11.84</v>
      </c>
      <c r="E38" s="1"/>
      <c r="F38" s="1">
        <v>352</v>
      </c>
      <c r="G38" s="2">
        <v>0.74027777777777781</v>
      </c>
      <c r="H38" s="3" t="s">
        <v>12</v>
      </c>
      <c r="I38" s="3">
        <v>12</v>
      </c>
    </row>
    <row r="39" spans="1:9" ht="15.75" customHeight="1">
      <c r="A39" s="1">
        <v>1600</v>
      </c>
      <c r="B39" s="1">
        <v>4940</v>
      </c>
      <c r="C39" s="1">
        <v>5.49</v>
      </c>
      <c r="D39" s="1">
        <v>11.76</v>
      </c>
      <c r="E39" s="1">
        <v>39</v>
      </c>
      <c r="F39" s="1">
        <v>416</v>
      </c>
    </row>
    <row r="40" spans="1:9" ht="15.75" customHeight="1">
      <c r="A40" s="1">
        <v>1600</v>
      </c>
      <c r="B40" s="1">
        <v>4830</v>
      </c>
      <c r="C40" s="1">
        <v>5.27</v>
      </c>
      <c r="D40" s="1">
        <v>11.72</v>
      </c>
      <c r="E40" s="1">
        <v>40</v>
      </c>
      <c r="F40" s="1">
        <v>395</v>
      </c>
    </row>
    <row r="41" spans="1:9" ht="15.75" customHeight="1">
      <c r="A41" s="1">
        <v>1600</v>
      </c>
      <c r="B41" s="1">
        <v>4800</v>
      </c>
      <c r="C41" s="1">
        <v>5.21</v>
      </c>
      <c r="D41" s="1">
        <v>11.7</v>
      </c>
      <c r="E41" s="1">
        <v>43</v>
      </c>
      <c r="F41" s="1">
        <v>393</v>
      </c>
      <c r="G41" s="2">
        <v>0.74930555555555556</v>
      </c>
    </row>
    <row r="42" spans="1:9" ht="15.75" customHeight="1">
      <c r="A42" s="1">
        <v>1650</v>
      </c>
      <c r="B42" s="1">
        <v>4914</v>
      </c>
      <c r="C42" s="1">
        <v>5.66</v>
      </c>
      <c r="D42" s="1">
        <v>11.66</v>
      </c>
      <c r="E42" s="1">
        <v>47</v>
      </c>
      <c r="F42" s="1">
        <v>414</v>
      </c>
    </row>
    <row r="43" spans="1:9" ht="15.75" customHeight="1">
      <c r="A43" s="1">
        <v>1650</v>
      </c>
      <c r="B43" s="1">
        <v>4900</v>
      </c>
      <c r="C43" s="1">
        <v>5.63</v>
      </c>
      <c r="D43" s="1">
        <v>11.65</v>
      </c>
      <c r="E43" s="1">
        <v>47</v>
      </c>
      <c r="F43" s="1">
        <v>408</v>
      </c>
    </row>
    <row r="44" spans="1:9" ht="15.75" customHeight="1">
      <c r="A44" s="1">
        <v>1650</v>
      </c>
      <c r="B44" s="1">
        <v>4872</v>
      </c>
      <c r="C44" s="1">
        <v>5.63</v>
      </c>
      <c r="D44" s="1">
        <v>11.63</v>
      </c>
      <c r="E44" s="1">
        <v>48</v>
      </c>
      <c r="F44" s="1">
        <v>404</v>
      </c>
      <c r="G44" s="2">
        <v>0.75</v>
      </c>
    </row>
    <row r="45" spans="1:9" ht="15.75" customHeight="1">
      <c r="A45" s="1">
        <v>1700</v>
      </c>
      <c r="B45" s="1">
        <v>5160</v>
      </c>
      <c r="C45" s="1">
        <v>6.79</v>
      </c>
      <c r="D45" s="1">
        <v>11.56</v>
      </c>
      <c r="E45" s="1">
        <v>50</v>
      </c>
      <c r="F45" s="1">
        <v>456</v>
      </c>
    </row>
    <row r="46" spans="1:9" ht="15.75" customHeight="1">
      <c r="A46" s="1">
        <v>1700</v>
      </c>
      <c r="B46" s="1">
        <v>5110</v>
      </c>
      <c r="C46" s="1">
        <v>6.78</v>
      </c>
      <c r="D46" s="1">
        <v>11.55</v>
      </c>
      <c r="E46" s="1">
        <v>49</v>
      </c>
      <c r="F46" s="1">
        <v>459</v>
      </c>
    </row>
    <row r="47" spans="1:9" ht="15.75" customHeight="1">
      <c r="A47" s="1">
        <v>1700</v>
      </c>
      <c r="B47" s="1">
        <v>5080</v>
      </c>
      <c r="C47" s="1">
        <v>6.58</v>
      </c>
      <c r="D47" s="1">
        <v>11.5</v>
      </c>
      <c r="E47" s="1">
        <v>52</v>
      </c>
      <c r="F47" s="1">
        <v>440</v>
      </c>
      <c r="G47" s="2">
        <v>0.75069444444444444</v>
      </c>
    </row>
    <row r="48" spans="1:9" ht="15.75" customHeight="1">
      <c r="A48" s="1">
        <v>1750</v>
      </c>
      <c r="B48" s="1">
        <v>5240</v>
      </c>
      <c r="C48" s="1">
        <v>7.38</v>
      </c>
      <c r="D48" s="1">
        <v>11.44</v>
      </c>
      <c r="E48" s="1">
        <v>53</v>
      </c>
      <c r="F48" s="1">
        <v>472</v>
      </c>
    </row>
    <row r="49" spans="1:9" ht="15.75" customHeight="1">
      <c r="A49" s="1">
        <v>1750</v>
      </c>
      <c r="B49" s="1">
        <v>5220</v>
      </c>
      <c r="C49" s="1">
        <v>7.37</v>
      </c>
      <c r="D49" s="1">
        <v>11.42</v>
      </c>
      <c r="E49" s="1">
        <v>56</v>
      </c>
      <c r="F49" s="1">
        <v>470</v>
      </c>
    </row>
    <row r="50" spans="1:9" ht="15.75" customHeight="1">
      <c r="A50" s="1">
        <v>1750</v>
      </c>
      <c r="B50" s="1">
        <v>5200</v>
      </c>
      <c r="C50" s="1">
        <v>7.34</v>
      </c>
      <c r="D50" s="1">
        <v>11.4</v>
      </c>
      <c r="E50" s="1">
        <v>56</v>
      </c>
      <c r="F50" s="1">
        <v>470</v>
      </c>
      <c r="G50" s="2">
        <v>0.75208333333333333</v>
      </c>
    </row>
    <row r="51" spans="1:9" ht="15.75" customHeight="1">
      <c r="A51" s="1">
        <v>1800</v>
      </c>
      <c r="B51" s="1">
        <v>5443</v>
      </c>
      <c r="C51" s="1">
        <v>8.52</v>
      </c>
      <c r="D51" s="1">
        <v>11.32</v>
      </c>
      <c r="E51" s="1">
        <v>60</v>
      </c>
      <c r="F51" s="1">
        <v>513</v>
      </c>
    </row>
    <row r="52" spans="1:9" ht="15.75" customHeight="1">
      <c r="A52" s="1">
        <v>1800</v>
      </c>
      <c r="B52" s="1">
        <v>5411</v>
      </c>
      <c r="C52" s="1">
        <v>8.4700000000000006</v>
      </c>
      <c r="D52" s="1">
        <v>11.3</v>
      </c>
      <c r="E52" s="1">
        <v>59</v>
      </c>
      <c r="F52" s="1">
        <v>505</v>
      </c>
    </row>
    <row r="53" spans="1:9" ht="15.75" customHeight="1">
      <c r="A53" s="1">
        <v>1800</v>
      </c>
      <c r="B53" s="1">
        <v>5400</v>
      </c>
      <c r="C53" s="1">
        <v>8.4499999999999993</v>
      </c>
      <c r="D53" s="1">
        <v>11.28</v>
      </c>
      <c r="E53" s="1">
        <v>60</v>
      </c>
      <c r="F53" s="1">
        <v>502</v>
      </c>
      <c r="G53" s="2">
        <v>0.75277777777777777</v>
      </c>
    </row>
    <row r="54" spans="1:9" ht="15.75" customHeight="1">
      <c r="A54" s="1">
        <v>1850</v>
      </c>
      <c r="B54" s="1">
        <v>5530</v>
      </c>
      <c r="C54" s="1">
        <v>9.3000000000000007</v>
      </c>
      <c r="D54" s="1">
        <v>11.23</v>
      </c>
      <c r="E54" s="1">
        <v>59</v>
      </c>
      <c r="F54" s="1">
        <v>528</v>
      </c>
    </row>
    <row r="55" spans="1:9" ht="15.75" customHeight="1">
      <c r="A55" s="1">
        <v>1850</v>
      </c>
      <c r="B55" s="1">
        <v>5490</v>
      </c>
      <c r="C55" s="1">
        <v>9.23</v>
      </c>
      <c r="D55" s="1">
        <v>11.2</v>
      </c>
      <c r="E55" s="1">
        <v>55</v>
      </c>
      <c r="F55" s="1">
        <v>520</v>
      </c>
    </row>
    <row r="56" spans="1:9" ht="15.75" customHeight="1">
      <c r="A56" s="1">
        <v>1850</v>
      </c>
      <c r="B56" s="1">
        <v>5470</v>
      </c>
      <c r="C56" s="1">
        <v>9.18</v>
      </c>
      <c r="D56" s="1">
        <v>11.19</v>
      </c>
      <c r="E56" s="1">
        <v>58</v>
      </c>
      <c r="F56" s="1">
        <v>520</v>
      </c>
      <c r="G56" s="2">
        <v>0.75347222222222221</v>
      </c>
    </row>
    <row r="57" spans="1:9" ht="15.75" customHeight="1">
      <c r="A57" s="1">
        <v>1900</v>
      </c>
      <c r="B57" s="1">
        <v>5671</v>
      </c>
      <c r="C57" s="1">
        <v>10.46</v>
      </c>
      <c r="D57" s="1">
        <v>11.11</v>
      </c>
      <c r="E57" s="1">
        <v>66</v>
      </c>
      <c r="F57" s="1">
        <v>558</v>
      </c>
    </row>
    <row r="58" spans="1:9" ht="15.75" customHeight="1">
      <c r="A58" s="1">
        <v>1900</v>
      </c>
      <c r="B58" s="1">
        <v>5646</v>
      </c>
      <c r="C58" s="1">
        <v>10.4</v>
      </c>
      <c r="D58" s="1">
        <v>11.09</v>
      </c>
      <c r="E58" s="1">
        <v>68</v>
      </c>
      <c r="F58" s="1">
        <v>553</v>
      </c>
    </row>
    <row r="59" spans="1:9" ht="15.75" customHeight="1">
      <c r="A59" s="1">
        <v>1900</v>
      </c>
      <c r="B59" s="1">
        <v>5630</v>
      </c>
      <c r="C59" s="1">
        <v>10.35</v>
      </c>
      <c r="D59" s="1">
        <v>11.07</v>
      </c>
      <c r="E59" s="1">
        <v>66</v>
      </c>
      <c r="F59" s="1">
        <v>550</v>
      </c>
      <c r="G59" s="2">
        <v>0.75416666666666665</v>
      </c>
      <c r="H59" s="3" t="s">
        <v>13</v>
      </c>
      <c r="I59" s="3">
        <v>11.43</v>
      </c>
    </row>
    <row r="60" spans="1:9" ht="15.75" customHeight="1">
      <c r="A60" s="1">
        <v>1950</v>
      </c>
      <c r="B60" s="1">
        <v>6240</v>
      </c>
      <c r="C60" s="1">
        <v>12.93</v>
      </c>
      <c r="D60" s="1">
        <v>11.14</v>
      </c>
      <c r="E60" s="1"/>
      <c r="F60" s="1">
        <v>660</v>
      </c>
    </row>
    <row r="61" spans="1:9" ht="15.75" customHeight="1">
      <c r="A61" s="1">
        <v>1950</v>
      </c>
      <c r="B61" s="1">
        <v>6072</v>
      </c>
      <c r="C61" s="1">
        <v>12.45</v>
      </c>
      <c r="D61" s="1">
        <v>11.11</v>
      </c>
      <c r="E61" s="1"/>
      <c r="F61" s="1">
        <v>629</v>
      </c>
    </row>
    <row r="62" spans="1:9" ht="15.75" customHeight="1">
      <c r="A62" s="1">
        <v>1950</v>
      </c>
      <c r="B62" s="1">
        <v>6011</v>
      </c>
      <c r="C62" s="1">
        <v>12.21</v>
      </c>
      <c r="D62" s="1">
        <v>11.09</v>
      </c>
      <c r="E62" s="1"/>
      <c r="F62" s="1">
        <v>619</v>
      </c>
      <c r="G62" s="2">
        <v>0.76458333333333328</v>
      </c>
    </row>
    <row r="63" spans="1:9" ht="15.75" customHeight="1">
      <c r="A63" s="1">
        <v>2000</v>
      </c>
      <c r="B63" s="1">
        <v>6100</v>
      </c>
      <c r="C63" s="1">
        <v>13.5</v>
      </c>
      <c r="D63" s="1">
        <v>11.03</v>
      </c>
      <c r="E63" s="1"/>
      <c r="F63" s="1">
        <v>638</v>
      </c>
    </row>
    <row r="64" spans="1:9" ht="15.75" customHeight="1">
      <c r="A64" s="1">
        <v>2000</v>
      </c>
      <c r="B64" s="1">
        <v>6030</v>
      </c>
      <c r="C64" s="1">
        <v>13.23</v>
      </c>
      <c r="D64" s="1">
        <v>11</v>
      </c>
      <c r="E64" s="1"/>
      <c r="F64" s="1">
        <v>628</v>
      </c>
    </row>
    <row r="65" spans="1:7" ht="15.75" customHeight="1">
      <c r="A65" s="1">
        <v>2000</v>
      </c>
      <c r="B65" s="1">
        <v>5900</v>
      </c>
      <c r="C65" s="1">
        <v>12.36</v>
      </c>
      <c r="D65" s="1">
        <v>10.98</v>
      </c>
      <c r="E65" s="1"/>
      <c r="F65" s="1">
        <v>600</v>
      </c>
      <c r="G65" s="2">
        <v>0.76527777777777772</v>
      </c>
    </row>
    <row r="66" spans="1:7" ht="15.75" customHeight="1"/>
    <row r="67" spans="1:7" ht="15.75" customHeight="1">
      <c r="A67" s="3" t="s">
        <v>14</v>
      </c>
    </row>
    <row r="68" spans="1:7" ht="15.75" customHeight="1">
      <c r="A68" s="3" t="s">
        <v>15</v>
      </c>
      <c r="D68" s="3" t="s">
        <v>16</v>
      </c>
    </row>
    <row r="69" spans="1:7" ht="15.75" customHeight="1">
      <c r="A69" s="3" t="s">
        <v>17</v>
      </c>
    </row>
    <row r="70" spans="1:7" ht="15.75" customHeight="1"/>
    <row r="71" spans="1:7" ht="15.75" customHeight="1"/>
    <row r="72" spans="1:7" ht="15.75" customHeight="1"/>
    <row r="73" spans="1:7" ht="15.75" customHeight="1"/>
    <row r="74" spans="1:7" ht="15.75" customHeight="1"/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H1:N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MOTOR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 Maximiliano López</dc:creator>
  <cp:lastModifiedBy>Emanuel  Maximiliano López</cp:lastModifiedBy>
  <dcterms:created xsi:type="dcterms:W3CDTF">2025-11-03T15:16:32Z</dcterms:created>
  <dcterms:modified xsi:type="dcterms:W3CDTF">2025-11-27T00:52:26Z</dcterms:modified>
</cp:coreProperties>
</file>